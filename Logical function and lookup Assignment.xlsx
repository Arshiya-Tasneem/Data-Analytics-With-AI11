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Question 1." sheetId="1" r:id="rId5"/>
    <sheet state="visible" name="Question 2" sheetId="2" r:id="rId6"/>
    <sheet state="visible" name="Question 3." sheetId="3" r:id="rId7"/>
    <sheet state="visible" name="Question 4" sheetId="4" r:id="rId8"/>
    <sheet state="visible" name="Question 5" sheetId="5" r:id="rId9"/>
    <sheet state="visible" name="Question 6" sheetId="6" r:id="rId10"/>
    <sheet state="visible" name="Question 7" sheetId="7" r:id="rId11"/>
    <sheet state="visible" name="Question 8" sheetId="8" r:id="rId12"/>
  </sheets>
  <definedNames/>
  <calcPr/>
</workbook>
</file>

<file path=xl/sharedStrings.xml><?xml version="1.0" encoding="utf-8"?>
<sst xmlns="http://schemas.openxmlformats.org/spreadsheetml/2006/main" count="83" uniqueCount="68">
  <si>
    <t>Student name</t>
  </si>
  <si>
    <t>Marks</t>
  </si>
  <si>
    <t xml:space="preserve">Riya </t>
  </si>
  <si>
    <t>Siya</t>
  </si>
  <si>
    <t xml:space="preserve">Raju </t>
  </si>
  <si>
    <t>Check on formula bar</t>
  </si>
  <si>
    <t xml:space="preserve">Rahul </t>
  </si>
  <si>
    <t xml:space="preserve">Ram </t>
  </si>
  <si>
    <t xml:space="preserve">   1.    Write a formula to check if the marks in cell B2 are greater than or equal to 40. If yes, return "Pass", otherwise "Fail".</t>
  </si>
  <si>
    <t>2. A company gives a bonus if sales are above 40,000 and attendance is greater than or equal to 90%. Write a formula to calculate whether the employee will get a bonus or not .</t>
  </si>
  <si>
    <t xml:space="preserve">Employee </t>
  </si>
  <si>
    <t>Sales</t>
  </si>
  <si>
    <t>Attendance</t>
  </si>
  <si>
    <t>Result</t>
  </si>
  <si>
    <t xml:space="preserve">Arjun </t>
  </si>
  <si>
    <t xml:space="preserve">Simran </t>
  </si>
  <si>
    <t xml:space="preserve">Rohit </t>
  </si>
  <si>
    <t>Anjali</t>
  </si>
  <si>
    <t xml:space="preserve"> ARJUN will get bonus</t>
  </si>
  <si>
    <t>Grade</t>
  </si>
  <si>
    <t>Raj</t>
  </si>
  <si>
    <t xml:space="preserve">Neha </t>
  </si>
  <si>
    <t xml:space="preserve">Vivek </t>
  </si>
  <si>
    <t xml:space="preserve">Rani </t>
  </si>
  <si>
    <t>Sneha</t>
  </si>
  <si>
    <t>3. Write a nested if Formula:</t>
  </si>
  <si>
    <t>If marks in B2 are ≥ 90 → ,"A" ≥ 75 → "B", ≥ 50 → "C", otherwise ."Fail".</t>
  </si>
  <si>
    <t xml:space="preserve">      5   Find the Department of Employee ID = E103. Also explain which LOOKUP function is used and why?</t>
  </si>
  <si>
    <t>Emp Id</t>
  </si>
  <si>
    <t xml:space="preserve">Name </t>
  </si>
  <si>
    <t>Department</t>
  </si>
  <si>
    <t>E101</t>
  </si>
  <si>
    <t>Raju</t>
  </si>
  <si>
    <t>IT</t>
  </si>
  <si>
    <t>E102</t>
  </si>
  <si>
    <t>Riya</t>
  </si>
  <si>
    <t>HR</t>
  </si>
  <si>
    <t>E103</t>
  </si>
  <si>
    <t xml:space="preserve">Roshni </t>
  </si>
  <si>
    <t>Finance</t>
  </si>
  <si>
    <t>E104</t>
  </si>
  <si>
    <t>Sejal</t>
  </si>
  <si>
    <t>VLOOKUP is used because we need to find the Department from the same row based on the Employee id and the data is arranged from left to right .</t>
  </si>
  <si>
    <t xml:space="preserve">    5. A company has set the following commission structure for its sales team:</t>
  </si>
  <si>
    <t>Sales Ammount</t>
  </si>
  <si>
    <t>Commission Rate</t>
  </si>
  <si>
    <t>Is the applicable rate of commision</t>
  </si>
  <si>
    <r>
      <rPr>
        <rFont val="Georgia"/>
        <color theme="1"/>
      </rPr>
      <t>If a salesperson achieves sales of</t>
    </r>
    <r>
      <rPr>
        <rFont val="Georgia"/>
        <b/>
        <color theme="1"/>
      </rPr>
      <t xml:space="preserve"> ₹45,000</t>
    </r>
    <r>
      <rPr>
        <rFont val="Georgia"/>
        <color theme="1"/>
      </rPr>
      <t xml:space="preserve">, use the </t>
    </r>
    <r>
      <rPr>
        <rFont val="Georgia"/>
        <b/>
        <color theme="1"/>
      </rPr>
      <t>VLOOKUP</t>
    </r>
    <r>
      <rPr>
        <rFont val="Georgia"/>
        <color theme="1"/>
      </rPr>
      <t xml:space="preserve"> function to determine the commission rate applicable.</t>
    </r>
  </si>
  <si>
    <r>
      <rPr>
        <rFont val="Georgia"/>
        <color theme="1"/>
      </rPr>
      <t xml:space="preserve">6. The HR department maintains the following leave records of employees:onus or not </t>
    </r>
    <r>
      <rPr>
        <rFont val="Arial"/>
        <color theme="1"/>
      </rPr>
      <t>.</t>
    </r>
  </si>
  <si>
    <t>Employee Name</t>
  </si>
  <si>
    <t xml:space="preserve">Leave taken </t>
  </si>
  <si>
    <t>Leave allowed</t>
  </si>
  <si>
    <t>Leave balance</t>
  </si>
  <si>
    <t>Alex</t>
  </si>
  <si>
    <t>Bob</t>
  </si>
  <si>
    <t>Anna</t>
  </si>
  <si>
    <r>
      <rPr>
        <rFont val="Georgia"/>
        <color theme="1"/>
      </rPr>
      <t>Write an IF function to check whether an employee has Exceeded their allowed leave balance.</t>
    </r>
    <r>
      <rPr>
        <rFont val="Arial"/>
        <color theme="1"/>
      </rPr>
      <t xml:space="preserve"> </t>
    </r>
  </si>
  <si>
    <t xml:space="preserve"> *   If Leaves Taken &gt; Allowed Leaves, display "Exceeded".</t>
  </si>
  <si>
    <t xml:space="preserve">  *  Otherwise, display "OK".</t>
  </si>
  <si>
    <t xml:space="preserve"> 7 Find the salary of EmpID = E105 using INDEX-MATCH Function.</t>
  </si>
  <si>
    <t>Salary</t>
  </si>
  <si>
    <t>E105</t>
  </si>
  <si>
    <t>E106</t>
  </si>
  <si>
    <t>CHECK FORMULA BAR</t>
  </si>
  <si>
    <r>
      <rPr>
        <rFont val="Arial"/>
        <color theme="1"/>
      </rPr>
      <t xml:space="preserve"> </t>
    </r>
    <r>
      <rPr>
        <rFont val="Georgia"/>
        <color theme="1"/>
      </rPr>
      <t xml:space="preserve"> 8. Use the XLOOKUP function to find the Department of the employee with Emp ID = E303.</t>
    </r>
  </si>
  <si>
    <t xml:space="preserve">Emp Id </t>
  </si>
  <si>
    <t>E303</t>
  </si>
  <si>
    <t>E301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</si>
</sst>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2">
    <font>
      <sz val="10.0"/>
      <color rgb="FF000000"/>
      <name val="Arial"/>
      <scheme val="minor"/>
    </font>
    <font>
      <b/>
      <sz val="12.0"/>
      <color theme="1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b/>
      <sz val="13.0"/>
      <color rgb="FF434343"/>
      <name val="Arial"/>
      <scheme val="minor"/>
    </font>
    <font>
      <b/>
      <sz val="12.0"/>
      <color rgb="FFFF0000"/>
      <name val="Arial"/>
      <scheme val="minor"/>
    </font>
    <font>
      <b/>
      <color rgb="FFFF0000"/>
      <name val="Arial"/>
      <scheme val="minor"/>
    </font>
    <font/>
    <font>
      <b/>
      <sz val="11.0"/>
      <color theme="1"/>
      <name val="Arial"/>
      <scheme val="minor"/>
    </font>
    <font>
      <b/>
      <sz val="12.0"/>
      <color rgb="FF000000"/>
      <name val="Arial"/>
      <scheme val="minor"/>
    </font>
    <font>
      <sz val="11.0"/>
      <color theme="1"/>
      <name val="Arial"/>
      <scheme val="minor"/>
    </font>
    <font>
      <b/>
      <color rgb="FF980000"/>
      <name val="Arial"/>
      <scheme val="minor"/>
    </font>
    <font>
      <b/>
      <sz val="11.0"/>
      <color rgb="FFFF0000"/>
      <name val="Arial"/>
      <scheme val="minor"/>
    </font>
    <font>
      <b/>
      <color theme="1"/>
      <name val="Georgia"/>
    </font>
    <font>
      <b/>
      <color rgb="FFCC0000"/>
      <name val="Comfortaa"/>
    </font>
    <font>
      <color theme="1"/>
      <name val="Comfortaa"/>
    </font>
    <font>
      <b/>
      <sz val="10.0"/>
      <color rgb="FFCC0000"/>
      <name val="Georgia"/>
    </font>
    <font>
      <color rgb="FFFF0000"/>
      <name val="Georgia"/>
    </font>
    <font>
      <b/>
      <color rgb="FF980000"/>
      <name val="Georgia"/>
    </font>
    <font>
      <color theme="1"/>
      <name val="Georgia"/>
    </font>
    <font>
      <color rgb="FF980000"/>
      <name val="Georgia"/>
    </font>
    <font>
      <color rgb="FFFF0000"/>
      <name val="Arial"/>
      <scheme val="minor"/>
    </font>
  </fonts>
  <fills count="12">
    <fill>
      <patternFill patternType="none"/>
    </fill>
    <fill>
      <patternFill patternType="lightGray"/>
    </fill>
    <fill>
      <patternFill patternType="solid">
        <fgColor rgb="FFFFD966"/>
        <bgColor rgb="FFFFD966"/>
      </patternFill>
    </fill>
    <fill>
      <patternFill patternType="solid">
        <fgColor rgb="FFD9EAD3"/>
        <bgColor rgb="FFD9EAD3"/>
      </patternFill>
    </fill>
    <fill>
      <patternFill patternType="solid">
        <fgColor rgb="FF6AA84F"/>
        <bgColor rgb="FF6AA84F"/>
      </patternFill>
    </fill>
    <fill>
      <patternFill patternType="solid">
        <fgColor rgb="FF00FFFF"/>
        <bgColor rgb="FF00FFFF"/>
      </patternFill>
    </fill>
    <fill>
      <patternFill patternType="solid">
        <fgColor rgb="FFCCCCCC"/>
        <bgColor rgb="FFCCCCCC"/>
      </patternFill>
    </fill>
    <fill>
      <patternFill patternType="solid">
        <fgColor rgb="FFFF0000"/>
        <bgColor rgb="FFFF0000"/>
      </patternFill>
    </fill>
    <fill>
      <patternFill patternType="solid">
        <fgColor rgb="FFB6D7A8"/>
        <bgColor rgb="FFB6D7A8"/>
      </patternFill>
    </fill>
    <fill>
      <patternFill patternType="solid">
        <fgColor rgb="FFD9D9D9"/>
        <bgColor rgb="FFD9D9D9"/>
      </patternFill>
    </fill>
    <fill>
      <patternFill patternType="solid">
        <fgColor rgb="FFF1C232"/>
        <bgColor rgb="FFF1C232"/>
      </patternFill>
    </fill>
    <fill>
      <patternFill patternType="solid">
        <fgColor rgb="FFE06666"/>
        <bgColor rgb="FFE06666"/>
      </patternFill>
    </fill>
  </fills>
  <borders count="51">
    <border/>
    <border>
      <left style="thin">
        <color rgb="FF000000"/>
      </left>
      <right style="thin">
        <color rgb="FF000000"/>
      </right>
      <top style="double">
        <color rgb="FFFF0000"/>
      </top>
      <bottom style="thin">
        <color rgb="FF000000"/>
      </bottom>
    </border>
    <border>
      <top style="double">
        <color rgb="FFFF0000"/>
      </top>
    </border>
    <border>
      <right style="double">
        <color rgb="FFFF0000"/>
      </right>
      <top style="double">
        <color rgb="FFFF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double">
        <color rgb="FFFF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FF0000"/>
      </bottom>
    </border>
    <border>
      <left style="double">
        <color rgb="FFFF0000"/>
      </left>
      <top style="double">
        <color rgb="FFFF0000"/>
      </top>
      <bottom style="double">
        <color rgb="FFFF0000"/>
      </bottom>
    </border>
    <border>
      <top style="double">
        <color rgb="FFFF0000"/>
      </top>
      <bottom style="double">
        <color rgb="FFFF0000"/>
      </bottom>
    </border>
    <border>
      <right style="double">
        <color rgb="FFFF0000"/>
      </right>
      <top style="double">
        <color rgb="FFFF0000"/>
      </top>
      <bottom style="double">
        <color rgb="FFFF0000"/>
      </bottom>
    </border>
    <border>
      <left style="thin">
        <color rgb="FF7F6000"/>
      </left>
      <right style="thin">
        <color rgb="FF7F6000"/>
      </right>
      <top style="thin">
        <color rgb="FF7F6000"/>
      </top>
      <bottom style="thin">
        <color rgb="FF7F6000"/>
      </bottom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ck">
        <color rgb="FF000000"/>
      </right>
    </border>
    <border>
      <left style="thick">
        <color rgb="FF000000"/>
      </left>
    </border>
    <border>
      <left style="thick">
        <color rgb="FF000000"/>
      </left>
      <bottom style="thick">
        <color rgb="FF000000"/>
      </bottom>
    </border>
    <border>
      <bottom style="thick">
        <color rgb="FF000000"/>
      </bottom>
    </border>
    <border>
      <right style="thick">
        <color rgb="FF000000"/>
      </right>
      <bottom style="thick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medium">
        <color rgb="FFFF0000"/>
      </left>
      <top style="medium">
        <color rgb="FFFF0000"/>
      </top>
    </border>
    <border>
      <top style="medium">
        <color rgb="FFFF0000"/>
      </top>
    </border>
    <border>
      <right style="medium">
        <color rgb="FFFF0000"/>
      </right>
      <top style="medium">
        <color rgb="FFFF0000"/>
      </top>
    </border>
    <border>
      <left style="medium">
        <color rgb="FFFF0000"/>
      </left>
    </border>
    <border>
      <right style="medium">
        <color rgb="FFFF0000"/>
      </right>
    </border>
    <border>
      <left style="medium">
        <color rgb="FFFF0000"/>
      </left>
      <bottom style="medium">
        <color rgb="FFFF0000"/>
      </bottom>
    </border>
    <border>
      <bottom style="medium">
        <color rgb="FFFF0000"/>
      </bottom>
    </border>
    <border>
      <right style="medium">
        <color rgb="FFFF0000"/>
      </right>
      <bottom style="medium">
        <color rgb="FFFF0000"/>
      </bottom>
    </border>
    <border>
      <left style="thin">
        <color rgb="FFFF0000"/>
      </left>
      <top style="thin">
        <color rgb="FFFF0000"/>
      </top>
    </border>
    <border>
      <top style="thin">
        <color rgb="FFFF0000"/>
      </top>
    </border>
    <border>
      <right style="thin">
        <color rgb="FFFF0000"/>
      </right>
      <top style="thin">
        <color rgb="FFFF0000"/>
      </top>
    </border>
    <border>
      <left style="thin">
        <color rgb="FFFF0000"/>
      </left>
    </border>
    <border>
      <right style="thin">
        <color rgb="FFFF0000"/>
      </right>
    </border>
    <border>
      <left style="thin">
        <color rgb="FFFF0000"/>
      </left>
      <bottom style="thin">
        <color rgb="FFFF0000"/>
      </bottom>
    </border>
    <border>
      <bottom style="thin">
        <color rgb="FFFF0000"/>
      </bottom>
    </border>
    <border>
      <right style="thin">
        <color rgb="FFFF0000"/>
      </right>
      <bottom style="thin">
        <color rgb="FFFF0000"/>
      </bottom>
    </border>
    <border>
      <left style="double">
        <color rgb="FFFF0000"/>
      </left>
      <top style="double">
        <color rgb="FFFF0000"/>
      </top>
    </border>
    <border>
      <left style="double">
        <color rgb="FFFF0000"/>
      </left>
    </border>
    <border>
      <left style="double">
        <color rgb="FFFF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double">
        <color rgb="FFFF0000"/>
      </left>
      <bottom style="double">
        <color rgb="FFFF0000"/>
      </bottom>
    </border>
    <border>
      <bottom style="double">
        <color rgb="FFFF0000"/>
      </bottom>
    </border>
    <border>
      <right style="double">
        <color rgb="FFFF0000"/>
      </right>
      <bottom style="double">
        <color rgb="FFFF0000"/>
      </bottom>
    </border>
  </borders>
  <cellStyleXfs count="1">
    <xf borderId="0" fillId="0" fontId="0" numFmtId="0" applyAlignment="1" applyFont="1"/>
  </cellStyleXfs>
  <cellXfs count="9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2" fillId="0" fontId="2" numFmtId="0" xfId="0" applyBorder="1" applyFont="1"/>
    <xf borderId="3" fillId="0" fontId="2" numFmtId="0" xfId="0" applyBorder="1" applyFont="1"/>
    <xf borderId="4" fillId="2" fontId="3" numFmtId="0" xfId="0" applyAlignment="1" applyBorder="1" applyFont="1">
      <alignment horizontal="center" readingOrder="0" shrinkToFit="0" vertical="bottom" wrapText="0"/>
    </xf>
    <xf borderId="4" fillId="2" fontId="3" numFmtId="0" xfId="0" applyAlignment="1" applyBorder="1" applyFont="1">
      <alignment horizontal="center" readingOrder="0"/>
    </xf>
    <xf borderId="5" fillId="0" fontId="2" numFmtId="0" xfId="0" applyBorder="1" applyFont="1"/>
    <xf borderId="0" fillId="3" fontId="4" numFmtId="0" xfId="0" applyAlignment="1" applyFill="1" applyFont="1">
      <alignment horizontal="center"/>
    </xf>
    <xf borderId="0" fillId="0" fontId="5" numFmtId="0" xfId="0" applyAlignment="1" applyFont="1">
      <alignment horizontal="center" readingOrder="0"/>
    </xf>
    <xf borderId="6" fillId="2" fontId="3" numFmtId="0" xfId="0" applyAlignment="1" applyBorder="1" applyFont="1">
      <alignment horizontal="center" readingOrder="0"/>
    </xf>
    <xf borderId="7" fillId="0" fontId="6" numFmtId="0" xfId="0" applyAlignment="1" applyBorder="1" applyFont="1">
      <alignment readingOrder="0"/>
    </xf>
    <xf borderId="8" fillId="0" fontId="7" numFmtId="0" xfId="0" applyBorder="1" applyFont="1"/>
    <xf borderId="9" fillId="0" fontId="7" numFmtId="0" xfId="0" applyBorder="1" applyFont="1"/>
    <xf borderId="0" fillId="0" fontId="2" numFmtId="0" xfId="0" applyAlignment="1" applyFont="1">
      <alignment horizontal="right" readingOrder="0"/>
    </xf>
    <xf borderId="0" fillId="4" fontId="3" numFmtId="0" xfId="0" applyAlignment="1" applyFill="1" applyFont="1">
      <alignment horizontal="left" readingOrder="0"/>
    </xf>
    <xf borderId="0" fillId="4" fontId="3" numFmtId="0" xfId="0" applyAlignment="1" applyFont="1">
      <alignment horizontal="left"/>
    </xf>
    <xf borderId="10" fillId="0" fontId="8" numFmtId="0" xfId="0" applyAlignment="1" applyBorder="1" applyFont="1">
      <alignment horizontal="center" readingOrder="0"/>
    </xf>
    <xf borderId="10" fillId="0" fontId="3" numFmtId="0" xfId="0" applyAlignment="1" applyBorder="1" applyFont="1">
      <alignment horizontal="center" readingOrder="0"/>
    </xf>
    <xf borderId="10" fillId="0" fontId="2" numFmtId="0" xfId="0" applyAlignment="1" applyBorder="1" applyFont="1">
      <alignment horizontal="center" readingOrder="0"/>
    </xf>
    <xf borderId="10" fillId="0" fontId="2" numFmtId="0" xfId="0" applyAlignment="1" applyBorder="1" applyFont="1">
      <alignment horizontal="center"/>
    </xf>
    <xf borderId="0" fillId="5" fontId="9" numFmtId="0" xfId="0" applyAlignment="1" applyFill="1" applyFont="1">
      <alignment horizontal="center" readingOrder="0"/>
    </xf>
    <xf borderId="11" fillId="0" fontId="8" numFmtId="0" xfId="0" applyAlignment="1" applyBorder="1" applyFont="1">
      <alignment horizontal="center" readingOrder="0"/>
    </xf>
    <xf borderId="12" fillId="0" fontId="8" numFmtId="0" xfId="0" applyAlignment="1" applyBorder="1" applyFont="1">
      <alignment horizontal="center" readingOrder="0"/>
    </xf>
    <xf borderId="12" fillId="6" fontId="3" numFmtId="0" xfId="0" applyAlignment="1" applyBorder="1" applyFill="1" applyFont="1">
      <alignment horizontal="center" readingOrder="0"/>
    </xf>
    <xf borderId="13" fillId="0" fontId="2" numFmtId="0" xfId="0" applyBorder="1" applyFont="1"/>
    <xf borderId="14" fillId="0" fontId="2" numFmtId="0" xfId="0" applyBorder="1" applyFont="1"/>
    <xf borderId="15" fillId="0" fontId="10" numFmtId="0" xfId="0" applyAlignment="1" applyBorder="1" applyFont="1">
      <alignment horizontal="center" readingOrder="0"/>
    </xf>
    <xf borderId="4" fillId="0" fontId="10" numFmtId="0" xfId="0" applyAlignment="1" applyBorder="1" applyFont="1">
      <alignment horizontal="center" readingOrder="0"/>
    </xf>
    <xf borderId="4" fillId="0" fontId="11" numFmtId="0" xfId="0" applyAlignment="1" applyBorder="1" applyFont="1">
      <alignment horizontal="center"/>
    </xf>
    <xf borderId="16" fillId="0" fontId="2" numFmtId="0" xfId="0" applyBorder="1" applyFont="1"/>
    <xf borderId="17" fillId="0" fontId="2" numFmtId="0" xfId="0" applyBorder="1" applyFont="1"/>
    <xf borderId="17" fillId="0" fontId="12" numFmtId="0" xfId="0" applyAlignment="1" applyBorder="1" applyFont="1">
      <alignment readingOrder="0"/>
    </xf>
    <xf borderId="0" fillId="0" fontId="12" numFmtId="0" xfId="0" applyFont="1"/>
    <xf borderId="18" fillId="0" fontId="2" numFmtId="0" xfId="0" applyBorder="1" applyFont="1"/>
    <xf borderId="19" fillId="0" fontId="2" numFmtId="0" xfId="0" applyBorder="1" applyFont="1"/>
    <xf borderId="20" fillId="0" fontId="2" numFmtId="0" xfId="0" applyBorder="1" applyFont="1"/>
    <xf borderId="21" fillId="0" fontId="3" numFmtId="0" xfId="0" applyAlignment="1" applyBorder="1" applyFont="1">
      <alignment readingOrder="0"/>
    </xf>
    <xf borderId="22" fillId="0" fontId="2" numFmtId="0" xfId="0" applyBorder="1" applyFont="1"/>
    <xf borderId="23" fillId="0" fontId="2" numFmtId="0" xfId="0" applyBorder="1" applyFont="1"/>
    <xf borderId="24" fillId="0" fontId="2" numFmtId="0" xfId="0" applyBorder="1" applyFont="1"/>
    <xf borderId="25" fillId="0" fontId="2" numFmtId="0" xfId="0" applyBorder="1" applyFont="1"/>
    <xf borderId="4" fillId="0" fontId="3" numFmtId="0" xfId="0" applyAlignment="1" applyBorder="1" applyFont="1">
      <alignment horizontal="center" readingOrder="0"/>
    </xf>
    <xf borderId="4" fillId="0" fontId="2" numFmtId="0" xfId="0" applyAlignment="1" applyBorder="1" applyFont="1">
      <alignment horizontal="center" readingOrder="0"/>
    </xf>
    <xf borderId="0" fillId="7" fontId="9" numFmtId="0" xfId="0" applyAlignment="1" applyFill="1" applyFont="1">
      <alignment horizontal="center"/>
    </xf>
    <xf borderId="26" fillId="0" fontId="13" numFmtId="0" xfId="0" applyAlignment="1" applyBorder="1" applyFont="1">
      <alignment readingOrder="0"/>
    </xf>
    <xf borderId="27" fillId="0" fontId="2" numFmtId="0" xfId="0" applyBorder="1" applyFont="1"/>
    <xf borderId="28" fillId="0" fontId="2" numFmtId="0" xfId="0" applyBorder="1" applyFont="1"/>
    <xf borderId="29" fillId="0" fontId="13" numFmtId="0" xfId="0" applyAlignment="1" applyBorder="1" applyFont="1">
      <alignment readingOrder="0"/>
    </xf>
    <xf borderId="30" fillId="0" fontId="13" numFmtId="0" xfId="0" applyBorder="1" applyFont="1"/>
    <xf borderId="30" fillId="0" fontId="2" numFmtId="0" xfId="0" applyBorder="1" applyFont="1"/>
    <xf borderId="31" fillId="0" fontId="2" numFmtId="0" xfId="0" applyBorder="1" applyFont="1"/>
    <xf borderId="32" fillId="0" fontId="2" numFmtId="0" xfId="0" applyBorder="1" applyFont="1"/>
    <xf borderId="33" fillId="0" fontId="2" numFmtId="0" xfId="0" applyBorder="1" applyFont="1"/>
    <xf borderId="0" fillId="0" fontId="14" numFmtId="0" xfId="0" applyAlignment="1" applyFont="1">
      <alignment horizontal="center" readingOrder="0"/>
    </xf>
    <xf borderId="4" fillId="0" fontId="15" numFmtId="0" xfId="0" applyAlignment="1" applyBorder="1" applyFont="1">
      <alignment horizontal="center" readingOrder="0"/>
    </xf>
    <xf borderId="4" fillId="0" fontId="15" numFmtId="9" xfId="0" applyAlignment="1" applyBorder="1" applyFont="1" applyNumberFormat="1">
      <alignment horizontal="center" readingOrder="0"/>
    </xf>
    <xf borderId="0" fillId="0" fontId="14" numFmtId="0" xfId="0" applyAlignment="1" applyFont="1">
      <alignment horizontal="center"/>
    </xf>
    <xf borderId="0" fillId="0" fontId="16" numFmtId="0" xfId="0" applyAlignment="1" applyFont="1">
      <alignment readingOrder="0" shrinkToFit="0" wrapText="1"/>
    </xf>
    <xf borderId="0" fillId="0" fontId="14" numFmtId="9" xfId="0" applyAlignment="1" applyFont="1" applyNumberFormat="1">
      <alignment horizontal="center"/>
    </xf>
    <xf borderId="0" fillId="8" fontId="17" numFmtId="0" xfId="0" applyAlignment="1" applyFill="1" applyFont="1">
      <alignment horizontal="center" readingOrder="0"/>
    </xf>
    <xf borderId="32" fillId="0" fontId="2" numFmtId="0" xfId="0" applyAlignment="1" applyBorder="1" applyFont="1">
      <alignment readingOrder="0"/>
    </xf>
    <xf borderId="34" fillId="0" fontId="2" numFmtId="0" xfId="0" applyBorder="1" applyFont="1"/>
    <xf borderId="35" fillId="0" fontId="2" numFmtId="0" xfId="0" applyBorder="1" applyFont="1"/>
    <xf borderId="36" fillId="0" fontId="2" numFmtId="0" xfId="0" applyBorder="1" applyFont="1"/>
    <xf borderId="37" fillId="0" fontId="2" numFmtId="0" xfId="0" applyAlignment="1" applyBorder="1" applyFont="1">
      <alignment readingOrder="0"/>
    </xf>
    <xf borderId="38" fillId="0" fontId="2" numFmtId="0" xfId="0" applyBorder="1" applyFont="1"/>
    <xf borderId="39" fillId="0" fontId="2" numFmtId="0" xfId="0" applyBorder="1" applyFont="1"/>
    <xf borderId="40" fillId="0" fontId="13" numFmtId="0" xfId="0" applyAlignment="1" applyBorder="1" applyFont="1">
      <alignment horizontal="center" readingOrder="0"/>
    </xf>
    <xf borderId="0" fillId="0" fontId="13" numFmtId="0" xfId="0" applyAlignment="1" applyFont="1">
      <alignment horizontal="center" readingOrder="0"/>
    </xf>
    <xf borderId="0" fillId="9" fontId="18" numFmtId="0" xfId="0" applyAlignment="1" applyFill="1" applyFont="1">
      <alignment horizontal="center" readingOrder="0"/>
    </xf>
    <xf borderId="41" fillId="0" fontId="2" numFmtId="0" xfId="0" applyBorder="1" applyFont="1"/>
    <xf borderId="40" fillId="0" fontId="19" numFmtId="0" xfId="0" applyAlignment="1" applyBorder="1" applyFont="1">
      <alignment horizontal="center" readingOrder="0"/>
    </xf>
    <xf borderId="0" fillId="0" fontId="19" numFmtId="0" xfId="0" applyAlignment="1" applyFont="1">
      <alignment horizontal="center" readingOrder="0"/>
    </xf>
    <xf borderId="0" fillId="9" fontId="20" numFmtId="0" xfId="0" applyAlignment="1" applyFont="1">
      <alignment horizontal="center" readingOrder="0"/>
    </xf>
    <xf borderId="40" fillId="0" fontId="2" numFmtId="0" xfId="0" applyBorder="1" applyFont="1"/>
    <xf borderId="40" fillId="0" fontId="2" numFmtId="0" xfId="0" applyAlignment="1" applyBorder="1" applyFont="1">
      <alignment readingOrder="0"/>
    </xf>
    <xf borderId="40" fillId="0" fontId="13" numFmtId="0" xfId="0" applyAlignment="1" applyBorder="1" applyFont="1">
      <alignment readingOrder="0"/>
    </xf>
    <xf borderId="0" fillId="0" fontId="13" numFmtId="0" xfId="0" applyFont="1"/>
    <xf borderId="42" fillId="0" fontId="2" numFmtId="0" xfId="0" applyBorder="1" applyFont="1"/>
    <xf borderId="43" fillId="0" fontId="2" numFmtId="0" xfId="0" applyBorder="1" applyFont="1"/>
    <xf borderId="44" fillId="0" fontId="2" numFmtId="0" xfId="0" applyBorder="1" applyFont="1"/>
    <xf borderId="45" fillId="0" fontId="19" numFmtId="0" xfId="0" applyAlignment="1" applyBorder="1" applyFont="1">
      <alignment readingOrder="0"/>
    </xf>
    <xf borderId="46" fillId="0" fontId="2" numFmtId="0" xfId="0" applyBorder="1" applyFont="1"/>
    <xf borderId="47" fillId="0" fontId="13" numFmtId="0" xfId="0" applyAlignment="1" applyBorder="1" applyFont="1">
      <alignment horizontal="center" readingOrder="0"/>
    </xf>
    <xf borderId="4" fillId="0" fontId="13" numFmtId="0" xfId="0" applyAlignment="1" applyBorder="1" applyFont="1">
      <alignment horizontal="center" readingOrder="0"/>
    </xf>
    <xf borderId="47" fillId="0" fontId="19" numFmtId="0" xfId="0" applyAlignment="1" applyBorder="1" applyFont="1">
      <alignment horizontal="center" readingOrder="0"/>
    </xf>
    <xf borderId="4" fillId="0" fontId="19" numFmtId="0" xfId="0" applyAlignment="1" applyBorder="1" applyFont="1">
      <alignment horizontal="center" readingOrder="0"/>
    </xf>
    <xf borderId="0" fillId="0" fontId="13" numFmtId="0" xfId="0" applyAlignment="1" applyFont="1">
      <alignment horizontal="center"/>
    </xf>
    <xf borderId="0" fillId="10" fontId="21" numFmtId="0" xfId="0" applyFill="1" applyFont="1"/>
    <xf borderId="0" fillId="10" fontId="21" numFmtId="0" xfId="0" applyAlignment="1" applyFont="1">
      <alignment horizontal="center" readingOrder="0"/>
    </xf>
    <xf borderId="48" fillId="0" fontId="2" numFmtId="0" xfId="0" applyBorder="1" applyFont="1"/>
    <xf borderId="49" fillId="0" fontId="2" numFmtId="0" xfId="0" applyBorder="1" applyFont="1"/>
    <xf borderId="50" fillId="0" fontId="2" numFmtId="0" xfId="0" applyBorder="1" applyFont="1"/>
    <xf borderId="45" fillId="0" fontId="2" numFmtId="0" xfId="0" applyAlignment="1" applyBorder="1" applyFont="1">
      <alignment readingOrder="0"/>
    </xf>
    <xf borderId="0" fillId="11" fontId="13" numFmtId="0" xfId="0" applyAlignment="1" applyFill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13"/>
    <col customWidth="1" min="2" max="2" width="15.75"/>
  </cols>
  <sheetData>
    <row r="1">
      <c r="A1" s="1" t="s">
        <v>0</v>
      </c>
      <c r="B1" s="1" t="s">
        <v>1</v>
      </c>
      <c r="C1" s="2"/>
      <c r="D1" s="2"/>
      <c r="E1" s="2"/>
      <c r="F1" s="2"/>
      <c r="G1" s="2"/>
      <c r="H1" s="3"/>
    </row>
    <row r="2">
      <c r="A2" s="4" t="s">
        <v>2</v>
      </c>
      <c r="B2" s="5">
        <v>45.0</v>
      </c>
      <c r="H2" s="6"/>
    </row>
    <row r="3">
      <c r="A3" s="5" t="s">
        <v>3</v>
      </c>
      <c r="B3" s="5">
        <v>72.0</v>
      </c>
      <c r="D3" s="7" t="str">
        <f>if(B2&gt;=40,"pass","fail")</f>
        <v>pass</v>
      </c>
      <c r="H3" s="6"/>
    </row>
    <row r="4">
      <c r="A4" s="5" t="s">
        <v>4</v>
      </c>
      <c r="B4" s="5">
        <v>55.0</v>
      </c>
      <c r="C4" s="8" t="s">
        <v>5</v>
      </c>
      <c r="H4" s="6"/>
    </row>
    <row r="5">
      <c r="A5" s="5" t="s">
        <v>6</v>
      </c>
      <c r="B5" s="5">
        <v>80.0</v>
      </c>
      <c r="H5" s="6"/>
    </row>
    <row r="6">
      <c r="A6" s="9" t="s">
        <v>7</v>
      </c>
      <c r="B6" s="9">
        <v>30.0</v>
      </c>
      <c r="H6" s="6"/>
    </row>
    <row r="7">
      <c r="A7" s="10" t="s">
        <v>8</v>
      </c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2"/>
    </row>
  </sheetData>
  <mergeCells count="2">
    <mergeCell ref="C4:E4"/>
    <mergeCell ref="A7:Z7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3"/>
      <c r="B1" s="14" t="s">
        <v>9</v>
      </c>
      <c r="C1" s="15"/>
      <c r="D1" s="15"/>
      <c r="E1" s="15"/>
      <c r="F1" s="15"/>
      <c r="G1" s="15"/>
      <c r="H1" s="15"/>
      <c r="I1" s="15"/>
      <c r="J1" s="15"/>
      <c r="K1" s="15"/>
      <c r="L1" s="15"/>
    </row>
    <row r="3">
      <c r="C3" s="16" t="s">
        <v>10</v>
      </c>
      <c r="D3" s="16" t="s">
        <v>11</v>
      </c>
      <c r="E3" s="16" t="s">
        <v>12</v>
      </c>
      <c r="F3" s="17" t="s">
        <v>13</v>
      </c>
    </row>
    <row r="4">
      <c r="C4" s="18" t="s">
        <v>14</v>
      </c>
      <c r="D4" s="18">
        <v>55000.0</v>
      </c>
      <c r="E4" s="18">
        <v>95.0</v>
      </c>
      <c r="F4" s="19" t="str">
        <f t="shared" ref="F4:F7" si="1">IF(AND(D4&gt;40000,E4&gt;90),"BONUS","NO BONUS")</f>
        <v>BONUS</v>
      </c>
    </row>
    <row r="5">
      <c r="C5" s="18" t="s">
        <v>15</v>
      </c>
      <c r="D5" s="18">
        <v>65000.0</v>
      </c>
      <c r="E5" s="18">
        <v>85.0</v>
      </c>
      <c r="F5" s="19" t="str">
        <f t="shared" si="1"/>
        <v>NO BONUS</v>
      </c>
    </row>
    <row r="6">
      <c r="C6" s="18" t="s">
        <v>16</v>
      </c>
      <c r="D6" s="18">
        <v>30000.0</v>
      </c>
      <c r="E6" s="18">
        <v>90.0</v>
      </c>
      <c r="F6" s="19" t="str">
        <f t="shared" si="1"/>
        <v>NO BONUS</v>
      </c>
    </row>
    <row r="7">
      <c r="C7" s="18" t="s">
        <v>17</v>
      </c>
      <c r="D7" s="18">
        <v>25000.0</v>
      </c>
      <c r="E7" s="18">
        <v>65.0</v>
      </c>
      <c r="F7" s="19" t="str">
        <f t="shared" si="1"/>
        <v>NO BONUS</v>
      </c>
    </row>
    <row r="9">
      <c r="E9" s="20" t="s">
        <v>18</v>
      </c>
    </row>
  </sheetData>
  <mergeCells count="1">
    <mergeCell ref="E9:F9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13"/>
  </cols>
  <sheetData>
    <row r="1">
      <c r="A1" s="21" t="s">
        <v>0</v>
      </c>
      <c r="B1" s="22" t="s">
        <v>1</v>
      </c>
      <c r="C1" s="23" t="s">
        <v>19</v>
      </c>
      <c r="D1" s="24"/>
      <c r="E1" s="24"/>
      <c r="F1" s="25"/>
    </row>
    <row r="2">
      <c r="A2" s="26" t="s">
        <v>20</v>
      </c>
      <c r="B2" s="27">
        <v>85.0</v>
      </c>
      <c r="C2" s="28" t="str">
        <f t="shared" ref="C2:C6" si="1">IF(B2&gt;=90,"A",IF(B2&gt;=75,"B",IF(B2&gt;=50,"C","FAIL")))</f>
        <v>B</v>
      </c>
      <c r="F2" s="29"/>
    </row>
    <row r="3">
      <c r="A3" s="26" t="s">
        <v>21</v>
      </c>
      <c r="B3" s="27">
        <v>96.0</v>
      </c>
      <c r="C3" s="28" t="str">
        <f t="shared" si="1"/>
        <v>A</v>
      </c>
      <c r="F3" s="29"/>
    </row>
    <row r="4">
      <c r="A4" s="26" t="s">
        <v>22</v>
      </c>
      <c r="B4" s="27">
        <v>57.0</v>
      </c>
      <c r="C4" s="28" t="str">
        <f t="shared" si="1"/>
        <v>C</v>
      </c>
      <c r="F4" s="29"/>
    </row>
    <row r="5">
      <c r="A5" s="26" t="s">
        <v>23</v>
      </c>
      <c r="B5" s="27">
        <v>92.0</v>
      </c>
      <c r="C5" s="28" t="str">
        <f t="shared" si="1"/>
        <v>A</v>
      </c>
      <c r="F5" s="29"/>
    </row>
    <row r="6">
      <c r="A6" s="26" t="s">
        <v>24</v>
      </c>
      <c r="B6" s="27">
        <v>75.0</v>
      </c>
      <c r="C6" s="28" t="str">
        <f t="shared" si="1"/>
        <v>B</v>
      </c>
      <c r="F6" s="29"/>
    </row>
    <row r="7">
      <c r="A7" s="30"/>
      <c r="F7" s="29"/>
    </row>
    <row r="8">
      <c r="A8" s="31" t="s">
        <v>25</v>
      </c>
      <c r="B8" s="32"/>
      <c r="C8" s="32"/>
      <c r="D8" s="32"/>
      <c r="E8" s="32"/>
      <c r="F8" s="29"/>
    </row>
    <row r="9">
      <c r="A9" s="31" t="s">
        <v>26</v>
      </c>
      <c r="B9" s="32"/>
      <c r="C9" s="32"/>
      <c r="D9" s="32"/>
      <c r="E9" s="32"/>
      <c r="F9" s="29"/>
    </row>
    <row r="10">
      <c r="A10" s="33"/>
      <c r="B10" s="34"/>
      <c r="C10" s="34"/>
      <c r="D10" s="34"/>
      <c r="E10" s="34"/>
      <c r="F10" s="35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6" t="s">
        <v>27</v>
      </c>
      <c r="B1" s="37"/>
      <c r="C1" s="37"/>
      <c r="D1" s="37"/>
      <c r="E1" s="37"/>
      <c r="F1" s="37"/>
      <c r="G1" s="37"/>
      <c r="H1" s="37"/>
      <c r="I1" s="37"/>
      <c r="J1" s="38"/>
    </row>
    <row r="2">
      <c r="A2" s="39"/>
      <c r="J2" s="40"/>
    </row>
    <row r="3">
      <c r="A3" s="41" t="s">
        <v>28</v>
      </c>
      <c r="B3" s="41" t="s">
        <v>29</v>
      </c>
      <c r="C3" s="41" t="s">
        <v>30</v>
      </c>
      <c r="J3" s="40"/>
    </row>
    <row r="4">
      <c r="A4" s="42" t="s">
        <v>31</v>
      </c>
      <c r="B4" s="42" t="s">
        <v>32</v>
      </c>
      <c r="C4" s="42" t="s">
        <v>33</v>
      </c>
      <c r="J4" s="40"/>
    </row>
    <row r="5">
      <c r="A5" s="42" t="s">
        <v>34</v>
      </c>
      <c r="B5" s="42" t="s">
        <v>35</v>
      </c>
      <c r="C5" s="42" t="s">
        <v>36</v>
      </c>
      <c r="J5" s="40"/>
    </row>
    <row r="6">
      <c r="A6" s="42" t="s">
        <v>37</v>
      </c>
      <c r="B6" s="42" t="s">
        <v>38</v>
      </c>
      <c r="C6" s="42" t="s">
        <v>39</v>
      </c>
      <c r="E6" s="43" t="str">
        <f>VLOOKUP(A6,A4:C7,3)</f>
        <v>Finance</v>
      </c>
      <c r="J6" s="40"/>
    </row>
    <row r="7">
      <c r="A7" s="42" t="s">
        <v>40</v>
      </c>
      <c r="B7" s="42" t="s">
        <v>41</v>
      </c>
      <c r="C7" s="42" t="s">
        <v>11</v>
      </c>
      <c r="J7" s="40"/>
    </row>
    <row r="8">
      <c r="A8" s="39"/>
      <c r="J8" s="40"/>
    </row>
    <row r="9">
      <c r="A9" s="44" t="s">
        <v>42</v>
      </c>
      <c r="B9" s="45"/>
      <c r="C9" s="45"/>
      <c r="D9" s="45"/>
      <c r="E9" s="45"/>
      <c r="F9" s="45"/>
      <c r="G9" s="45"/>
      <c r="H9" s="45"/>
      <c r="I9" s="45"/>
      <c r="J9" s="46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4.13"/>
    <col customWidth="1" min="4" max="4" width="15.13"/>
  </cols>
  <sheetData>
    <row r="1">
      <c r="A1" s="47" t="s">
        <v>43</v>
      </c>
      <c r="B1" s="48"/>
      <c r="C1" s="48"/>
      <c r="D1" s="48"/>
      <c r="E1" s="48"/>
      <c r="F1" s="49"/>
      <c r="G1" s="49"/>
      <c r="H1" s="50"/>
    </row>
    <row r="2">
      <c r="A2" s="51"/>
      <c r="H2" s="52"/>
    </row>
    <row r="3" ht="22.5" customHeight="1">
      <c r="A3" s="51"/>
      <c r="C3" s="41" t="s">
        <v>44</v>
      </c>
      <c r="D3" s="41" t="s">
        <v>45</v>
      </c>
      <c r="F3" s="53">
        <v>45000.0</v>
      </c>
      <c r="H3" s="52"/>
    </row>
    <row r="4">
      <c r="A4" s="51"/>
      <c r="C4" s="54">
        <v>0.0</v>
      </c>
      <c r="D4" s="55">
        <v>0.05</v>
      </c>
      <c r="F4" s="56"/>
      <c r="H4" s="52"/>
    </row>
    <row r="5">
      <c r="A5" s="51"/>
      <c r="C5" s="54">
        <v>20000.0</v>
      </c>
      <c r="D5" s="55">
        <v>0.1</v>
      </c>
      <c r="F5" s="56"/>
      <c r="G5" s="57" t="s">
        <v>46</v>
      </c>
      <c r="H5" s="52"/>
    </row>
    <row r="6">
      <c r="A6" s="51"/>
      <c r="C6" s="54">
        <v>50000.0</v>
      </c>
      <c r="D6" s="55">
        <v>0.15</v>
      </c>
      <c r="F6" s="58">
        <f>VLOOKUP(F3,C4:D7,2,TRUE)</f>
        <v>0.1</v>
      </c>
      <c r="H6" s="52"/>
    </row>
    <row r="7" ht="21.75" customHeight="1">
      <c r="A7" s="51"/>
      <c r="C7" s="54">
        <v>80000.0</v>
      </c>
      <c r="D7" s="55">
        <v>0.2</v>
      </c>
      <c r="E7" s="59" t="s">
        <v>5</v>
      </c>
      <c r="H7" s="52"/>
    </row>
    <row r="8">
      <c r="A8" s="51"/>
      <c r="H8" s="52"/>
    </row>
    <row r="9">
      <c r="A9" s="60" t="s">
        <v>47</v>
      </c>
      <c r="H9" s="52"/>
    </row>
    <row r="10">
      <c r="A10" s="61"/>
      <c r="B10" s="62"/>
      <c r="C10" s="62"/>
      <c r="D10" s="62"/>
      <c r="E10" s="62"/>
      <c r="F10" s="62"/>
      <c r="G10" s="62"/>
      <c r="H10" s="63"/>
    </row>
  </sheetData>
  <mergeCells count="2">
    <mergeCell ref="G5:G7"/>
    <mergeCell ref="E7:F7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75"/>
    <col customWidth="1" min="2" max="2" width="17.0"/>
    <col customWidth="1" min="3" max="3" width="15.88"/>
    <col customWidth="1" min="4" max="4" width="14.25"/>
  </cols>
  <sheetData>
    <row r="1">
      <c r="A1" s="64" t="s">
        <v>48</v>
      </c>
      <c r="B1" s="65"/>
      <c r="C1" s="65"/>
      <c r="D1" s="65"/>
      <c r="E1" s="65"/>
      <c r="F1" s="66"/>
    </row>
    <row r="2">
      <c r="A2" s="67" t="s">
        <v>49</v>
      </c>
      <c r="B2" s="68" t="s">
        <v>50</v>
      </c>
      <c r="C2" s="68" t="s">
        <v>51</v>
      </c>
      <c r="D2" s="69" t="s">
        <v>52</v>
      </c>
      <c r="F2" s="70"/>
    </row>
    <row r="3">
      <c r="A3" s="71" t="s">
        <v>53</v>
      </c>
      <c r="B3" s="72">
        <v>10.0</v>
      </c>
      <c r="C3" s="72">
        <v>12.0</v>
      </c>
      <c r="D3" s="73" t="str">
        <f t="shared" ref="D3:D5" si="1">IF(B3&gt;C3,"Exceeded","ok")</f>
        <v>ok</v>
      </c>
      <c r="F3" s="70"/>
    </row>
    <row r="4">
      <c r="A4" s="71" t="s">
        <v>54</v>
      </c>
      <c r="B4" s="72">
        <v>10.0</v>
      </c>
      <c r="C4" s="72">
        <v>15.0</v>
      </c>
      <c r="D4" s="73" t="str">
        <f t="shared" si="1"/>
        <v>ok</v>
      </c>
      <c r="F4" s="70"/>
    </row>
    <row r="5">
      <c r="A5" s="71" t="s">
        <v>55</v>
      </c>
      <c r="B5" s="72">
        <v>8.0</v>
      </c>
      <c r="C5" s="72">
        <v>12.0</v>
      </c>
      <c r="D5" s="73" t="str">
        <f t="shared" si="1"/>
        <v>ok</v>
      </c>
      <c r="F5" s="70"/>
    </row>
    <row r="6">
      <c r="A6" s="74"/>
      <c r="F6" s="70"/>
    </row>
    <row r="7">
      <c r="A7" s="75" t="s">
        <v>56</v>
      </c>
      <c r="F7" s="70"/>
    </row>
    <row r="8">
      <c r="A8" s="76" t="s">
        <v>57</v>
      </c>
      <c r="B8" s="77"/>
      <c r="C8" s="77"/>
      <c r="F8" s="70"/>
    </row>
    <row r="9">
      <c r="A9" s="76" t="s">
        <v>58</v>
      </c>
      <c r="B9" s="77"/>
      <c r="C9" s="77"/>
      <c r="F9" s="70"/>
    </row>
    <row r="10">
      <c r="A10" s="78"/>
      <c r="B10" s="79"/>
      <c r="C10" s="79"/>
      <c r="D10" s="79"/>
      <c r="E10" s="79"/>
      <c r="F10" s="80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81" t="s">
        <v>59</v>
      </c>
      <c r="B1" s="2"/>
      <c r="C1" s="2"/>
      <c r="D1" s="2"/>
      <c r="E1" s="2"/>
      <c r="F1" s="3"/>
    </row>
    <row r="2">
      <c r="A2" s="82"/>
      <c r="F2" s="6"/>
    </row>
    <row r="3">
      <c r="A3" s="83" t="s">
        <v>28</v>
      </c>
      <c r="B3" s="84" t="s">
        <v>60</v>
      </c>
      <c r="F3" s="6"/>
    </row>
    <row r="4">
      <c r="A4" s="85" t="s">
        <v>40</v>
      </c>
      <c r="B4" s="86">
        <v>55000.0</v>
      </c>
      <c r="F4" s="6"/>
    </row>
    <row r="5">
      <c r="A5" s="85" t="s">
        <v>61</v>
      </c>
      <c r="B5" s="86">
        <v>72000.0</v>
      </c>
      <c r="D5" s="87">
        <f t="array" ref="D5">INDEX(B4:B7,MATCH("E105",A4:A7,0))</f>
        <v>72000</v>
      </c>
      <c r="F5" s="6"/>
    </row>
    <row r="6">
      <c r="A6" s="85" t="s">
        <v>62</v>
      </c>
      <c r="B6" s="86">
        <v>62000.0</v>
      </c>
      <c r="C6" s="88"/>
      <c r="D6" s="89" t="s">
        <v>63</v>
      </c>
      <c r="E6" s="88"/>
      <c r="F6" s="6"/>
    </row>
    <row r="7">
      <c r="A7" s="85" t="s">
        <v>34</v>
      </c>
      <c r="B7" s="86">
        <v>41000.0</v>
      </c>
      <c r="F7" s="6"/>
    </row>
    <row r="8">
      <c r="A8" s="90"/>
      <c r="B8" s="91"/>
      <c r="C8" s="91"/>
      <c r="D8" s="91"/>
      <c r="E8" s="91"/>
      <c r="F8" s="92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93" t="s">
        <v>64</v>
      </c>
      <c r="B1" s="2"/>
      <c r="C1" s="2"/>
      <c r="D1" s="2"/>
      <c r="E1" s="2"/>
      <c r="F1" s="2"/>
      <c r="G1" s="3"/>
    </row>
    <row r="2">
      <c r="A2" s="82"/>
      <c r="G2" s="6"/>
    </row>
    <row r="3">
      <c r="A3" s="83" t="s">
        <v>65</v>
      </c>
      <c r="B3" s="84" t="s">
        <v>60</v>
      </c>
      <c r="G3" s="6"/>
    </row>
    <row r="4">
      <c r="A4" s="85" t="s">
        <v>31</v>
      </c>
      <c r="B4" s="86" t="s">
        <v>36</v>
      </c>
      <c r="G4" s="6"/>
    </row>
    <row r="5">
      <c r="A5" s="85" t="s">
        <v>66</v>
      </c>
      <c r="B5" s="86" t="s">
        <v>33</v>
      </c>
      <c r="D5" s="94" t="str">
        <f t="array" ref="D5">XLOOKUP(A5,A4:A7,B4:B7)</f>
        <v>IT</v>
      </c>
      <c r="G5" s="6"/>
    </row>
    <row r="6">
      <c r="A6" s="85" t="s">
        <v>62</v>
      </c>
      <c r="B6" s="86" t="s">
        <v>11</v>
      </c>
      <c r="D6" s="88"/>
      <c r="E6" s="89" t="s">
        <v>63</v>
      </c>
      <c r="F6" s="88"/>
      <c r="G6" s="6"/>
    </row>
    <row r="7">
      <c r="A7" s="85" t="s">
        <v>67</v>
      </c>
      <c r="B7" s="86" t="s">
        <v>39</v>
      </c>
      <c r="G7" s="6"/>
    </row>
    <row r="8">
      <c r="A8" s="90"/>
      <c r="B8" s="91"/>
      <c r="C8" s="91"/>
      <c r="D8" s="91"/>
      <c r="E8" s="91"/>
      <c r="F8" s="91"/>
      <c r="G8" s="92"/>
    </row>
  </sheetData>
  <drawing r:id="rId1"/>
</worksheet>
</file>